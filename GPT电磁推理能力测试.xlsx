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ce\Desktop\"/>
    </mc:Choice>
  </mc:AlternateContent>
  <xr:revisionPtr revIDLastSave="0" documentId="13_ncr:1_{81953119-30A1-412C-8C05-9A6830929A0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U_mmWave_Benchmark" sheetId="1" r:id="rId1"/>
    <sheet name="Error_Analysis" sheetId="2" r:id="rId2"/>
    <sheet name="Statistics" sheetId="3" r:id="rId3"/>
    <sheet name="Preliminary_Findings" sheetId="4" r:id="rId4"/>
    <sheet name="Visualization_Notes" sheetId="5" r:id="rId5"/>
  </sheets>
  <definedNames>
    <definedName name="_xlnm._FilterDatabase" localSheetId="0" hidden="1">DU_mmWave_Benchmark!$A$1:$K$12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<sst xmlns="http://schemas.openxmlformats.org/spreadsheetml/2006/main" count="229" uniqueCount="129">
  <si>
    <t>Figure</t>
  </si>
  <si>
    <t>Chart Type</t>
  </si>
  <si>
    <t>Data Source</t>
  </si>
  <si>
    <t>Purpose</t>
  </si>
  <si>
    <t>Figure 1: Module Average Score</t>
  </si>
  <si>
    <t>Bar Chart</t>
  </si>
  <si>
    <t>Statistics: Module Avg Score</t>
  </si>
  <si>
    <t>比较不同 reasoning module 的平均表现</t>
  </si>
  <si>
    <t>Figure 2: Error Type Distribution</t>
  </si>
  <si>
    <t>Pie Chart</t>
  </si>
  <si>
    <t>Statistics: Error Type Distribution</t>
  </si>
  <si>
    <t>展示 GPT 最常见的错误类型</t>
  </si>
  <si>
    <t>Figure 3: Score Distribution</t>
  </si>
  <si>
    <t>Column Chart</t>
  </si>
  <si>
    <t>Statistics: Score Distribution</t>
  </si>
  <si>
    <t>展示整体评分分布，说明多数回答属于 strong but simplified</t>
  </si>
  <si>
    <t>Case ID</t>
  </si>
  <si>
    <t>Module</t>
  </si>
  <si>
    <t>输入场景</t>
  </si>
  <si>
    <t>Prompt</t>
  </si>
  <si>
    <t>GPT 输出摘要</t>
  </si>
  <si>
    <t>是否符合物理直觉</t>
  </si>
  <si>
    <t>主要依据</t>
  </si>
  <si>
    <t>问题记录</t>
  </si>
  <si>
    <t>Error Type</t>
  </si>
  <si>
    <t>Score</t>
  </si>
  <si>
    <t>Reasoning Quality</t>
  </si>
  <si>
    <t>DU_001</t>
  </si>
  <si>
    <t>Basic Propagation</t>
  </si>
  <si>
    <t>dense urban + 28GHz</t>
  </si>
  <si>
    <t>在 dense urban 场景下，28GHz 的主要传播机制是什么？为什么？</t>
  </si>
  <si>
    <t>正确指出 28GHz dense urban 中 LoS 与 reflection 主导传播；正确解释高频导致 diffraction 弱化，并结合波长分析 reflection 机制。</t>
  </si>
  <si>
    <t>是</t>
  </si>
  <si>
    <t>28GHz 毫米波波长短，绕射能力弱；dense urban 中 NLoS 传播主要依赖建筑物 reflection；回答正确结合了 wavelength、reflection 与 diffraction loss。</t>
  </si>
  <si>
    <t>未讨论 diffuse scattering 与 penetration loss</t>
  </si>
  <si>
    <t>Minor Oversimplification</t>
  </si>
  <si>
    <t>Strong</t>
  </si>
  <si>
    <t>DU_002</t>
  </si>
  <si>
    <t>Dense Urban / mmWave</t>
  </si>
  <si>
    <t>为什么毫米波系统容易受到人体遮挡（human blockage）影响？</t>
  </si>
  <si>
    <t>正确解释毫米波 human blockage 的原因，包括短波长导致 diffraction 弱、人体吸收强、beamforming 高方向性以及链路预算敏感性。</t>
  </si>
  <si>
    <t>毫米波波长远小于人体尺寸，因此绕射能力弱；人体含水量高导致明显吸收；毫米波链路依赖窄波束与 LoS，因此人体遮挡会造成显著 attenuation。</t>
  </si>
  <si>
    <t>对 reflection-based recovery 机制讨论较少。</t>
  </si>
  <si>
    <t>DU_003</t>
  </si>
  <si>
    <t>Dense Urban / Street Corner / 28 GHz</t>
  </si>
  <si>
    <t>为什么 28GHz 在街角（street corner）后面仍然有时能够收到信号？</t>
  </si>
  <si>
    <t>正确指出 street corner NLoS 接收主要来自 reflection，同时说明 diffraction 虽弱但并非完全消失，并讨论 scattering 与 beamforming 对 NLoS 链路维持的作用。</t>
  </si>
  <si>
    <t>28GHz 虽然 diffraction 能力较弱，但 urban canyon 中仍存在 reflection、少量 diffraction 与 scattering；beamforming 能主动利用 NLoS path，因此街角后仍可能维持可用链路。</t>
  </si>
  <si>
    <t>对 diffraction 与 scattering 的定量贡献缺少区分；waveguide effect 未深入讨论。</t>
  </si>
  <si>
    <t>DU_004</t>
  </si>
  <si>
    <t>Dense Urban / Material Interaction / 28 GHz</t>
  </si>
  <si>
    <t>为什么玻璃幕墙通常会增强毫米波 reflection，而粗糙混凝土墙更容易产生 scattering？</t>
  </si>
  <si>
    <t>正确从 surface roughness、波长尺度与介电常数差异解释 glass reflection 与 concrete scattering，并引入 Rayleigh roughness criterion 分析毫米波表面物理。</t>
  </si>
  <si>
    <t>当表面 roughness 远小于毫米波波长时，更容易形成 specular reflection；而粗糙混凝土的 roughness 与毫米波波长接近，会导致 diffuse scattering 增强。玻璃与空气间明显的介电常数差异也会增强 Fresnel reflection。</t>
  </si>
  <si>
    <t>对 scattering 与 reflection 的物理机制解释较完整，但对 polarization、入射角 dependence 与材料频率色散未深入讨论。</t>
  </si>
  <si>
    <t>DU_005</t>
  </si>
  <si>
    <t>Dense Urban / NLoS / Delay Spread / 28 GHz</t>
  </si>
  <si>
    <t>为什么有时毫米波 NLoS 链路的 delay spread 会比 LOS 场景更大？</t>
  </si>
  <si>
    <t>正确解释 NLoS 场景中由于直达径消失，系统依赖更长且更分散的 reflection/scattering paths，导致 path delay difference 增大，从而增加 RMS delay spread。</t>
  </si>
  <si>
    <t>LOS 场景中路径长度差通常较小，而 NLoS 场景需要依赖长距离 reflection 与多 cluster propagation，因此 multipath arrival time dispersion 更明显，导致 delay spread 增大。</t>
  </si>
  <si>
    <t>对 angular spread 与 beam selection 对 delay spread 的影响仍较简化。</t>
  </si>
  <si>
    <t>DU_006</t>
  </si>
  <si>
    <t>Channel Statistics</t>
  </si>
  <si>
    <t>Dense Urban / Angular Spread / mmWave</t>
  </si>
  <si>
    <t>为什么毫米波信道通常具有更小的 angular spread，但更强的方向性？</t>
  </si>
  <si>
    <t>正确解释毫米波由于 diffraction 弱、path loss 高与 channel sparsity 增强，导致有效 multipath 数量减少，从而形成更小的 angular spread 与更强的 channel directionality。</t>
  </si>
  <si>
    <t>毫米波传播中弱散射路径容易衰减，仅少量 LOS/reflection paths 保留；由于 multipath direction 更集中，因此 angular spread 减小，而 sparse dominant paths 使 channel 呈现更强方向性。</t>
  </si>
  <si>
    <t>对 diffuse scattering 在部分 urban 场景中的贡献仍有一定简化。</t>
  </si>
  <si>
    <t>DU_007</t>
  </si>
  <si>
    <t>Dense Urban / Channel Sparsity / 3.5GHz vs 28GHz</t>
  </si>
  <si>
    <t>为什么从 3.5GHz 提升到 28GHz 后，channel sparsity 会增强？</t>
  </si>
  <si>
    <t>正确解释高频下由于 diffraction 与 penetration 能力减弱，大量弱 multipath 消失，仅少数 dominant paths 保留；同时毫米波大规模阵列提升 angular resolution，使 beamspace sparsity 更明显。</t>
  </si>
  <si>
    <t>高频毫米波传播损耗更高、绕射更弱，因此有效 multipath 数量减少；同时短波长允许更大阵列与更高 angular resolution，使 channel 在 angle-delay-beamspace domain 中呈现更强 sparsity。</t>
  </si>
  <si>
    <t>对 diffuse scattering 与 environment-dependent sparsity variation 仍有一定简化。</t>
  </si>
  <si>
    <t>DU_008</t>
  </si>
  <si>
    <t>Dynamic Channel Restructuring</t>
  </si>
  <si>
    <t>Dense Urban / Blockage / Delay Spread / mmWave</t>
  </si>
  <si>
    <t>为什么有时 blockage 反而会增加毫米波信道的 delay spread？</t>
  </si>
  <si>
    <t>正确解释 blockage 后 LOS path 被削弱或消失，晚到达的 reflection/scattering paths 相对权重上升，从而导致 PDP 更分散并增加 RMS delay spread。</t>
  </si>
  <si>
    <t>RMS delay spread 由功率在 delay axis 上的分布决定；blockage 会改变各 multipath 的相对功率，使原本较弱的长延迟 NLoS paths 成为 dominant components，因此 temporal dispersion 可能增加。</t>
  </si>
  <si>
    <t>对 blockage-induced cluster switching 与 beam tracking dynamics 的讨论仍较简化。</t>
  </si>
  <si>
    <t>DU_009</t>
  </si>
  <si>
    <t>Dense Urban / Blockage / Angular Spread / mmWave</t>
  </si>
  <si>
    <t>为什么人体 blockage 有时会增加毫米波信道的 angular spread？</t>
  </si>
  <si>
    <t>正确解释 blockage 后 LOS dominant path 被削弱，系统开始依赖来自多个方向的 reflection/scattering paths，从而导致功率角谱分布更分散并增加 RMS angular spread。</t>
  </si>
  <si>
    <t>Angular spread 由功率在角域中的离散程度决定；blockage 会削弱原本集中的 LOS component，使多个 NLoS reflection/scattering clusters 的相对贡献增加，因此 angular dispersion 可能增大。</t>
  </si>
  <si>
    <t>对 cluster visibility dynamics 与 beam management interaction 的讨论仍较简化。</t>
  </si>
  <si>
    <t>DU_010</t>
  </si>
  <si>
    <t>Beam &amp; Mobility</t>
  </si>
  <si>
    <t>Dense Urban / Mobility / Beam Tracking / mmWave</t>
  </si>
  <si>
    <t>为什么毫米波系统在用户移动时需要频繁 beam tracking？</t>
  </si>
  <si>
    <t>正确解释毫米波系统依赖高方向性窄波束来补偿高 path loss，而用户移动会导致 AoA/AoD 快速变化、beam misalignment 与 blockage，因此系统需要持续 beam tracking 与 beam switching。</t>
  </si>
  <si>
    <t>毫米波波束较窄，对 beam alignment 高度敏感；用户移动会改变 propagation geometry、AoA/AoD 与 dominant path visibility，因此系统必须动态更新 beam direction 才能维持链路质量。</t>
  </si>
  <si>
    <t>对 beam coherence time 与 spatial consistency 的讨论仍较简化。</t>
  </si>
  <si>
    <t>DU_011</t>
  </si>
  <si>
    <t>Dense Urban / Beam Misalignment / mmWave</t>
  </si>
  <si>
    <t>为什么毫米波系统中的 beam misalignment 会导致链路质量急剧下降？</t>
  </si>
  <si>
    <t>正确解释毫米波系统依赖超窄高增益波束补偿高 path loss，而 beam misalignment 会导致 array gain 快速下降、SNR 急剧恶化，并进一步引发 link degradation 与 outage。</t>
  </si>
  <si>
    <t>毫米波系统高度依赖 directional beamforming；由于 beamwidth 很窄，轻微 angular deviation 即可能破坏 Tx/Rx beam alignment，导致 array gain collapse 与接收功率显著下降。</t>
  </si>
  <si>
    <t>对 sidelobe contribution、beam coherence time 与 hybrid beamforming effects 仍较简化。</t>
  </si>
  <si>
    <t>Severity</t>
  </si>
  <si>
    <t>Key Weakness</t>
  </si>
  <si>
    <t>Affects Final Conclusion?</t>
  </si>
  <si>
    <t>Oversimplification</t>
  </si>
  <si>
    <t>Low</t>
  </si>
  <si>
    <t>No</t>
  </si>
  <si>
    <t>对人体 absorption 强调较多，但未充分讨论 reflection/scattering contribution</t>
  </si>
  <si>
    <t>对 diffraction 与 scattering 的实际贡献缺少定量区分</t>
  </si>
  <si>
    <t>未深入讨论 polarization 与 frequency-dependent material property</t>
  </si>
  <si>
    <t>Dynamic Reasoning Weakness</t>
  </si>
  <si>
    <t>Medium</t>
  </si>
  <si>
    <t>对 beam selection 与 cluster dynamics 对 delay spread 的影响讨论较浅</t>
  </si>
  <si>
    <t>Slightly</t>
  </si>
  <si>
    <t>对 diffuse scattering 在复杂 urban 环境中的作用有一定简化</t>
  </si>
  <si>
    <t>Physics Ambiguity</t>
  </si>
  <si>
    <t>对 propagation sparsity 与 representation sparsity 的区分不够严格</t>
  </si>
  <si>
    <t>未深入讨论 cluster birth/death 与 beam tracking dynamics</t>
  </si>
  <si>
    <t>对 PAS evolution 与 spatial consistency 的讨论较简化</t>
  </si>
  <si>
    <t>未深入讨论 beam coherence time 与 Doppler-beam coupling</t>
  </si>
  <si>
    <t>未讨论 sidelobe contribution 与 hybrid beamforming constraint</t>
  </si>
  <si>
    <t>Avg Score</t>
  </si>
  <si>
    <t>Count</t>
  </si>
  <si>
    <t>Preliminary Findings</t>
  </si>
  <si>
    <t>4. Key Finding</t>
  </si>
  <si>
    <t>The benchmark indicates that the LLM rarely produces completely incorrect mmWave propagation explanations.
Instead, the dominant failure mode is:
"Strong but oversimplified reasoning."
The model often captures high-level physical intuition correctly while omitting deeper electromagnetic, stochastic, or dynamic propagation mechanisms.
This behavior is especially noticeable in:
- dynamic beam/channel evolution
- cluster birth/death processes
- rigorous scattering behavior
- advanced beamspace statistical reasoning</t>
  </si>
  <si>
    <t>gpt在密集城区毫米波传播场景中表现出较强的定性推理能力，尤其擅长：
- 以反射为主导的传播机制推理
-遮挡分析
-波束赋形直觉理解
- 稀疏信道理解
在大多数密集城区案例中，模型能够较好把握毫米波传播机制背后的高层物理直觉。</t>
    <phoneticPr fontId="1" type="noConversion"/>
  </si>
  <si>
    <t>1. 优点</t>
    <phoneticPr fontId="1" type="noConversion"/>
  </si>
  <si>
    <t>2. 缺点</t>
    <phoneticPr fontId="1" type="noConversion"/>
  </si>
  <si>
    <t>暴露出以下不足：
- 散射建模存在过度简化
- 对动态簇演化的推理不足
- 定量电磁严谨性有限
- 波束域统计解释较弱
模型经常能在概念层面正确解释现象，但常常省略更深入的随机信道或电磁机制分析。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</si>
</sst>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</font>
    <font>
      <b/>
      <sz val="11"/>
      <name val="等线"/>
      <family val="3"/>
      <charset val="134"/>
    </font>
    <font>
      <b/>
      <sz val="18"/>
      <name val="等线"/>
      <family val="3"/>
      <charset val="134"/>
    </font>
    <font>
      <b/>
      <sz val="14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/>
    <xf numFmtId="0" fontId="4" fillId="0" borderId="0" xfId="0" applyFont="1" applyAlignment="1"/>
    <xf numFmtId="0" fontId="0" fillId="0" borderId="0" xfId="0" applyAlignment="1"/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strike="noStrike" baseline="0"/>
              <a:t>Figure 1: Module Average Score</a:t>
            </a:r>
            <a:endParaRPr lang="zh-CN" altLang="en-US"/>
          </a:p>
        </c:rich>
      </c:tx>
      <c:layout>
        <c:manualLayout>
          <c:xMode val="edge"/>
          <c:yMode val="edge"/>
          <c:x val="0.28651389421890477"/>
          <c:y val="4.237124775354538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504209276744971E-2"/>
          <c:y val="0.25041666666666668"/>
          <c:w val="0.8964746281714786"/>
          <c:h val="0.564498031496063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Statistics!$A$2:$A$5</c:f>
              <c:strCache>
                <c:ptCount val="4"/>
                <c:pt idx="0">
                  <c:v>Basic Propagation</c:v>
                </c:pt>
                <c:pt idx="1">
                  <c:v>Channel Statistics</c:v>
                </c:pt>
                <c:pt idx="2">
                  <c:v>Dynamic Channel Restructuring</c:v>
                </c:pt>
                <c:pt idx="3">
                  <c:v>Beam &amp; Mobility</c:v>
                </c:pt>
              </c:strCache>
            </c:strRef>
          </c:cat>
          <c:val>
            <c:numRef>
              <c:f>Statistics!$B$2:$B$5</c:f>
              <c:numCache>
                <c:formatCode>General</c:formatCode>
                <c:ptCount val="4"/>
                <c:pt idx="0">
                  <c:v>4.5</c:v>
                </c:pt>
                <c:pt idx="1">
                  <c:v>4</c:v>
                </c:pt>
                <c:pt idx="2">
                  <c:v>4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2-457A-916E-7E6C84EDC9A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Statistics!$A$2:$A$5</c:f>
              <c:strCache>
                <c:ptCount val="4"/>
                <c:pt idx="0">
                  <c:v>Basic Propagation</c:v>
                </c:pt>
                <c:pt idx="1">
                  <c:v>Channel Statistics</c:v>
                </c:pt>
                <c:pt idx="2">
                  <c:v>Dynamic Channel Restructuring</c:v>
                </c:pt>
                <c:pt idx="3">
                  <c:v>Beam &amp; Mobility</c:v>
                </c:pt>
              </c:strCache>
            </c:strRef>
          </c:cat>
          <c:val>
            <c:numRef>
              <c:f>Statistics!$C$2:$C$5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33F2-457A-916E-7E6C84EDC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481664"/>
        <c:axId val="343485504"/>
      </c:barChart>
      <c:catAx>
        <c:axId val="34348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3485504"/>
        <c:crosses val="autoZero"/>
        <c:auto val="1"/>
        <c:lblAlgn val="ctr"/>
        <c:lblOffset val="100"/>
        <c:noMultiLvlLbl val="0"/>
      </c:catAx>
      <c:valAx>
        <c:axId val="34348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348166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strike="noStrike" baseline="0"/>
              <a:t>Figure 2: Error Type Distribution</a:t>
            </a:r>
            <a:endParaRPr lang="en-US" altLang="zh-C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Statistics!$F$1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04-4D69-BFDC-0EC396FA5D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04-4D69-BFDC-0EC396FA5D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04-4D69-BFDC-0EC396FA5D7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Statistics!$E$2:$E$4</c:f>
              <c:strCache>
                <c:ptCount val="3"/>
                <c:pt idx="0">
                  <c:v>Oversimplification</c:v>
                </c:pt>
                <c:pt idx="1">
                  <c:v>Dynamic Reasoning Weakness</c:v>
                </c:pt>
                <c:pt idx="2">
                  <c:v>Physics Ambiguity</c:v>
                </c:pt>
              </c:strCache>
            </c:strRef>
          </c:cat>
          <c:val>
            <c:numRef>
              <c:f>Statistics!$F$2:$F$4</c:f>
              <c:numCache>
                <c:formatCode>General</c:formatCode>
                <c:ptCount val="3"/>
                <c:pt idx="0">
                  <c:v>7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04-4D69-BFDC-0EC396FA5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 Figure 3: Score Distribution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5.6580927384076982E-2"/>
          <c:y val="0.17171296296296301"/>
          <c:w val="0.91564129483814527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Statistics!$I$2:$I$3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cat>
          <c:val>
            <c:numRef>
              <c:f>Statistics!$I$2:$J$2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F-4B4F-BF33-462C0267817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Statistics!$I$2:$I$3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cat>
          <c:val>
            <c:numRef>
              <c:f>Statistics!$I$3:$J$3</c:f>
              <c:numCache>
                <c:formatCode>General</c:formatCode>
                <c:ptCount val="2"/>
                <c:pt idx="0">
                  <c:v>4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F-4B4F-BF33-462C02678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6931664"/>
        <c:axId val="966934064"/>
      </c:barChart>
      <c:catAx>
        <c:axId val="96693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6934064"/>
        <c:crosses val="autoZero"/>
        <c:auto val="1"/>
        <c:lblAlgn val="ctr"/>
        <c:lblOffset val="100"/>
        <c:noMultiLvlLbl val="0"/>
      </c:catAx>
      <c:valAx>
        <c:axId val="96693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693166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114300</xdr:rowOff>
    </xdr:from>
    <xdr:to>
      <xdr:col>2</xdr:col>
      <xdr:colOff>2057400</xdr:colOff>
      <xdr:row>22</xdr:row>
      <xdr:rowOff>24234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2070100</xdr:colOff>
      <xdr:row>5</xdr:row>
      <xdr:rowOff>114300</xdr:rowOff>
    </xdr:from>
    <xdr:to>
      <xdr:col>5</xdr:col>
      <xdr:colOff>19050</xdr:colOff>
      <xdr:row>22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647700</xdr:colOff>
      <xdr:row>5</xdr:row>
      <xdr:rowOff>95250</xdr:rowOff>
    </xdr:from>
    <xdr:to>
      <xdr:col>12</xdr:col>
      <xdr:colOff>88900</xdr:colOff>
      <xdr:row>22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G1" zoomScale="130" zoomScaleNormal="130" workbookViewId="0">
      <selection activeCell="I16" sqref="I16"/>
    </sheetView>
  </sheetViews>
  <sheetFormatPr defaultRowHeight="14"/>
  <cols>
    <col min="1" max="1" width="7.33203125" style="5" bestFit="1" customWidth="1"/>
    <col min="2" max="2" width="27.1640625" style="5" bestFit="1" customWidth="1"/>
    <col min="3" max="3" width="43.9140625" style="5" bestFit="1" customWidth="1"/>
    <col min="4" max="4" width="74.83203125" style="5" bestFit="1" customWidth="1"/>
    <col min="5" max="5" width="167" style="5" bestFit="1" customWidth="1"/>
    <col min="6" max="6" width="16.25" style="5" bestFit="1" customWidth="1"/>
    <col min="7" max="7" width="187.08203125" style="5" bestFit="1" customWidth="1"/>
    <col min="8" max="8" width="104" style="5" bestFit="1" customWidth="1"/>
    <col min="9" max="9" width="21.25" style="5" bestFit="1" customWidth="1"/>
    <col min="10" max="10" width="5.75" style="5" bestFit="1" customWidth="1"/>
    <col min="11" max="11" width="16.9140625" style="5" bestFit="1" customWidth="1"/>
  </cols>
  <sheetData>
    <row r="1" spans="1:1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>
        <v>5</v>
      </c>
      <c r="K2" t="s">
        <v>36</v>
      </c>
    </row>
    <row r="3" spans="1:11">
      <c r="A3" t="s">
        <v>37</v>
      </c>
      <c r="B3" t="s">
        <v>28</v>
      </c>
      <c r="C3" t="s">
        <v>38</v>
      </c>
      <c r="D3" t="s">
        <v>39</v>
      </c>
      <c r="E3" t="s">
        <v>40</v>
      </c>
      <c r="F3" t="s">
        <v>32</v>
      </c>
      <c r="G3" t="s">
        <v>41</v>
      </c>
      <c r="H3" t="s">
        <v>42</v>
      </c>
      <c r="I3" t="s">
        <v>35</v>
      </c>
      <c r="J3">
        <v>5</v>
      </c>
      <c r="K3" t="s">
        <v>36</v>
      </c>
    </row>
    <row r="4" spans="1:11">
      <c r="A4" t="s">
        <v>43</v>
      </c>
      <c r="B4" t="s">
        <v>28</v>
      </c>
      <c r="C4" t="s">
        <v>44</v>
      </c>
      <c r="D4" t="s">
        <v>45</v>
      </c>
      <c r="E4" t="s">
        <v>46</v>
      </c>
      <c r="F4" t="s">
        <v>32</v>
      </c>
      <c r="G4" t="s">
        <v>47</v>
      </c>
      <c r="H4" t="s">
        <v>48</v>
      </c>
      <c r="I4" t="s">
        <v>35</v>
      </c>
      <c r="J4">
        <v>4</v>
      </c>
      <c r="K4" t="s">
        <v>36</v>
      </c>
    </row>
    <row r="5" spans="1:11">
      <c r="A5" t="s">
        <v>49</v>
      </c>
      <c r="B5" t="s">
        <v>28</v>
      </c>
      <c r="C5" t="s">
        <v>50</v>
      </c>
      <c r="D5" t="s">
        <v>51</v>
      </c>
      <c r="E5" t="s">
        <v>52</v>
      </c>
      <c r="F5" t="s">
        <v>32</v>
      </c>
      <c r="G5" t="s">
        <v>53</v>
      </c>
      <c r="H5" t="s">
        <v>54</v>
      </c>
      <c r="I5" t="s">
        <v>35</v>
      </c>
      <c r="J5">
        <v>4</v>
      </c>
      <c r="K5" t="s">
        <v>36</v>
      </c>
    </row>
    <row r="6" spans="1:11">
      <c r="A6" s="2" t="s">
        <v>55</v>
      </c>
      <c r="B6" t="s">
        <v>28</v>
      </c>
      <c r="C6" t="s">
        <v>56</v>
      </c>
      <c r="D6" t="s">
        <v>57</v>
      </c>
      <c r="E6" t="s">
        <v>58</v>
      </c>
      <c r="F6" t="s">
        <v>32</v>
      </c>
      <c r="G6" t="s">
        <v>59</v>
      </c>
      <c r="H6" t="s">
        <v>60</v>
      </c>
      <c r="I6" t="s">
        <v>109</v>
      </c>
      <c r="J6">
        <v>4</v>
      </c>
      <c r="K6" t="s">
        <v>36</v>
      </c>
    </row>
    <row r="7" spans="1:11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32</v>
      </c>
      <c r="G7" t="s">
        <v>66</v>
      </c>
      <c r="H7" t="s">
        <v>67</v>
      </c>
      <c r="I7" t="s">
        <v>35</v>
      </c>
      <c r="J7">
        <v>4</v>
      </c>
      <c r="K7" t="s">
        <v>36</v>
      </c>
    </row>
    <row r="8" spans="1:11">
      <c r="A8" t="s">
        <v>68</v>
      </c>
      <c r="B8" t="s">
        <v>62</v>
      </c>
      <c r="C8" t="s">
        <v>69</v>
      </c>
      <c r="D8" t="s">
        <v>70</v>
      </c>
      <c r="E8" t="s">
        <v>71</v>
      </c>
      <c r="F8" t="s">
        <v>32</v>
      </c>
      <c r="G8" t="s">
        <v>72</v>
      </c>
      <c r="H8" t="s">
        <v>73</v>
      </c>
      <c r="I8" t="s">
        <v>114</v>
      </c>
      <c r="J8">
        <v>4</v>
      </c>
      <c r="K8" t="s">
        <v>36</v>
      </c>
    </row>
    <row r="9" spans="1:11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32</v>
      </c>
      <c r="G9" t="s">
        <v>79</v>
      </c>
      <c r="H9" t="s">
        <v>80</v>
      </c>
      <c r="I9" t="s">
        <v>109</v>
      </c>
      <c r="J9">
        <v>4</v>
      </c>
      <c r="K9" t="s">
        <v>36</v>
      </c>
    </row>
    <row r="10" spans="1:11">
      <c r="A10" s="2" t="s">
        <v>81</v>
      </c>
      <c r="B10" t="s">
        <v>75</v>
      </c>
      <c r="C10" t="s">
        <v>82</v>
      </c>
      <c r="D10" t="s">
        <v>83</v>
      </c>
      <c r="E10" t="s">
        <v>84</v>
      </c>
      <c r="F10" t="s">
        <v>32</v>
      </c>
      <c r="G10" t="s">
        <v>85</v>
      </c>
      <c r="H10" t="s">
        <v>86</v>
      </c>
      <c r="I10" t="s">
        <v>109</v>
      </c>
      <c r="J10">
        <v>4</v>
      </c>
      <c r="K10" t="s">
        <v>36</v>
      </c>
    </row>
    <row r="11" spans="1:11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32</v>
      </c>
      <c r="G11" t="s">
        <v>92</v>
      </c>
      <c r="H11" t="s">
        <v>93</v>
      </c>
      <c r="I11" t="s">
        <v>35</v>
      </c>
      <c r="J11">
        <v>5</v>
      </c>
      <c r="K11" t="s">
        <v>36</v>
      </c>
    </row>
    <row r="12" spans="1:11">
      <c r="A12" t="s">
        <v>94</v>
      </c>
      <c r="B12" t="s">
        <v>88</v>
      </c>
      <c r="C12" t="s">
        <v>95</v>
      </c>
      <c r="D12" t="s">
        <v>96</v>
      </c>
      <c r="E12" t="s">
        <v>97</v>
      </c>
      <c r="F12" t="s">
        <v>32</v>
      </c>
      <c r="G12" t="s">
        <v>98</v>
      </c>
      <c r="H12" t="s">
        <v>99</v>
      </c>
      <c r="I12" t="s">
        <v>35</v>
      </c>
      <c r="J12">
        <v>4</v>
      </c>
      <c r="K12" t="s">
        <v>36</v>
      </c>
    </row>
  </sheetData>
  <autoFilter ref="A1:K12" xr:uid="{00000000-0009-0000-0000-000000000000}"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E20" sqref="E20"/>
    </sheetView>
  </sheetViews>
  <sheetFormatPr defaultRowHeight="14"/>
  <cols>
    <col min="1" max="1" width="7.4140625" style="5" bestFit="1" customWidth="1"/>
    <col min="2" max="2" width="27" style="5" bestFit="1" customWidth="1"/>
    <col min="3" max="3" width="26.08203125" style="5" bestFit="1" customWidth="1"/>
    <col min="4" max="4" width="7.83203125" style="5" bestFit="1" customWidth="1"/>
    <col min="5" max="5" width="66.5" style="5" bestFit="1" customWidth="1"/>
    <col min="6" max="6" width="22.83203125" style="5" bestFit="1" customWidth="1"/>
  </cols>
  <sheetData>
    <row r="1" spans="1:6">
      <c r="A1" s="3" t="s">
        <v>16</v>
      </c>
      <c r="B1" s="3" t="s">
        <v>17</v>
      </c>
      <c r="C1" s="3" t="s">
        <v>24</v>
      </c>
      <c r="D1" s="3" t="s">
        <v>100</v>
      </c>
      <c r="E1" s="3" t="s">
        <v>101</v>
      </c>
      <c r="F1" s="3" t="s">
        <v>102</v>
      </c>
    </row>
    <row r="2" spans="1:6">
      <c r="A2" t="s">
        <v>27</v>
      </c>
      <c r="B2" t="s">
        <v>28</v>
      </c>
      <c r="C2" t="s">
        <v>103</v>
      </c>
      <c r="D2" t="s">
        <v>104</v>
      </c>
      <c r="E2" t="s">
        <v>34</v>
      </c>
      <c r="F2" t="s">
        <v>105</v>
      </c>
    </row>
    <row r="3" spans="1:6">
      <c r="A3" t="s">
        <v>37</v>
      </c>
      <c r="B3" t="s">
        <v>28</v>
      </c>
      <c r="C3" t="s">
        <v>103</v>
      </c>
      <c r="D3" t="s">
        <v>104</v>
      </c>
      <c r="E3" t="s">
        <v>106</v>
      </c>
      <c r="F3" t="s">
        <v>105</v>
      </c>
    </row>
    <row r="4" spans="1:6">
      <c r="A4" t="s">
        <v>43</v>
      </c>
      <c r="B4" t="s">
        <v>28</v>
      </c>
      <c r="C4" t="s">
        <v>103</v>
      </c>
      <c r="D4" t="s">
        <v>104</v>
      </c>
      <c r="E4" t="s">
        <v>107</v>
      </c>
      <c r="F4" t="s">
        <v>105</v>
      </c>
    </row>
    <row r="5" spans="1:6">
      <c r="A5" t="s">
        <v>49</v>
      </c>
      <c r="B5" t="s">
        <v>28</v>
      </c>
      <c r="C5" t="s">
        <v>103</v>
      </c>
      <c r="D5" t="s">
        <v>104</v>
      </c>
      <c r="E5" t="s">
        <v>108</v>
      </c>
      <c r="F5" t="s">
        <v>105</v>
      </c>
    </row>
    <row r="6" spans="1:6">
      <c r="A6" t="s">
        <v>55</v>
      </c>
      <c r="B6" t="s">
        <v>62</v>
      </c>
      <c r="C6" t="s">
        <v>109</v>
      </c>
      <c r="D6" t="s">
        <v>110</v>
      </c>
      <c r="E6" t="s">
        <v>111</v>
      </c>
      <c r="F6" t="s">
        <v>112</v>
      </c>
    </row>
    <row r="7" spans="1:6">
      <c r="A7" t="s">
        <v>61</v>
      </c>
      <c r="B7" t="s">
        <v>62</v>
      </c>
      <c r="C7" t="s">
        <v>103</v>
      </c>
      <c r="D7" t="s">
        <v>104</v>
      </c>
      <c r="E7" t="s">
        <v>113</v>
      </c>
      <c r="F7" t="s">
        <v>105</v>
      </c>
    </row>
    <row r="8" spans="1:6">
      <c r="A8" t="s">
        <v>68</v>
      </c>
      <c r="B8" t="s">
        <v>62</v>
      </c>
      <c r="C8" t="s">
        <v>114</v>
      </c>
      <c r="D8" t="s">
        <v>110</v>
      </c>
      <c r="E8" t="s">
        <v>115</v>
      </c>
      <c r="F8" t="s">
        <v>112</v>
      </c>
    </row>
    <row r="9" spans="1:6">
      <c r="A9" t="s">
        <v>74</v>
      </c>
      <c r="B9" t="s">
        <v>75</v>
      </c>
      <c r="C9" t="s">
        <v>109</v>
      </c>
      <c r="D9" t="s">
        <v>110</v>
      </c>
      <c r="E9" t="s">
        <v>116</v>
      </c>
      <c r="F9" t="s">
        <v>112</v>
      </c>
    </row>
    <row r="10" spans="1:6">
      <c r="A10" t="s">
        <v>81</v>
      </c>
      <c r="B10" t="s">
        <v>75</v>
      </c>
      <c r="C10" t="s">
        <v>109</v>
      </c>
      <c r="D10" t="s">
        <v>110</v>
      </c>
      <c r="E10" t="s">
        <v>117</v>
      </c>
      <c r="F10" t="s">
        <v>112</v>
      </c>
    </row>
    <row r="11" spans="1:6">
      <c r="A11" t="s">
        <v>87</v>
      </c>
      <c r="B11" t="s">
        <v>88</v>
      </c>
      <c r="C11" t="s">
        <v>103</v>
      </c>
      <c r="D11" t="s">
        <v>104</v>
      </c>
      <c r="E11" t="s">
        <v>118</v>
      </c>
      <c r="F11" t="s">
        <v>105</v>
      </c>
    </row>
    <row r="12" spans="1:6">
      <c r="A12" t="s">
        <v>94</v>
      </c>
      <c r="B12" t="s">
        <v>88</v>
      </c>
      <c r="C12" t="s">
        <v>103</v>
      </c>
      <c r="D12" t="s">
        <v>104</v>
      </c>
      <c r="E12" t="s">
        <v>119</v>
      </c>
      <c r="F12" t="s">
        <v>105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zoomScale="98" zoomScaleNormal="98" workbookViewId="0">
      <selection activeCell="H22" sqref="H22"/>
    </sheetView>
  </sheetViews>
  <sheetFormatPr defaultRowHeight="14"/>
  <cols>
    <col min="2" max="2" width="9.5" style="5" bestFit="1" customWidth="1"/>
    <col min="4" max="4" width="8.9140625" style="5" customWidth="1"/>
    <col min="5" max="5" width="26.08203125" style="5" bestFit="1" customWidth="1"/>
    <col min="6" max="6" width="6.25" style="5" bestFit="1" customWidth="1"/>
    <col min="7" max="7" width="6.25" style="5" customWidth="1"/>
    <col min="8" max="8" width="9" style="5" customWidth="1"/>
    <col min="9" max="9" width="5.75" style="5" bestFit="1" customWidth="1"/>
  </cols>
  <sheetData>
    <row r="1" spans="1:10">
      <c r="A1" s="4" t="s">
        <v>17</v>
      </c>
      <c r="B1" s="4" t="s">
        <v>120</v>
      </c>
      <c r="E1" s="4" t="s">
        <v>24</v>
      </c>
      <c r="F1" s="4" t="s">
        <v>121</v>
      </c>
      <c r="G1" s="4"/>
      <c r="I1" s="4" t="s">
        <v>25</v>
      </c>
      <c r="J1" s="4" t="s">
        <v>121</v>
      </c>
    </row>
    <row r="2" spans="1:10">
      <c r="A2" t="s">
        <v>28</v>
      </c>
      <c r="B2">
        <v>4.5</v>
      </c>
      <c r="E2" t="s">
        <v>103</v>
      </c>
      <c r="F2">
        <v>7</v>
      </c>
      <c r="I2">
        <v>5</v>
      </c>
      <c r="J2">
        <v>3</v>
      </c>
    </row>
    <row r="3" spans="1:10">
      <c r="A3" t="s">
        <v>62</v>
      </c>
      <c r="B3">
        <v>4</v>
      </c>
      <c r="E3" t="s">
        <v>109</v>
      </c>
      <c r="F3">
        <v>3</v>
      </c>
      <c r="I3">
        <v>4</v>
      </c>
      <c r="J3">
        <v>8</v>
      </c>
    </row>
    <row r="4" spans="1:10">
      <c r="A4" t="s">
        <v>75</v>
      </c>
      <c r="B4">
        <v>4</v>
      </c>
      <c r="E4" t="s">
        <v>114</v>
      </c>
      <c r="F4">
        <v>1</v>
      </c>
      <c r="I4"/>
    </row>
    <row r="5" spans="1:10">
      <c r="A5" t="s">
        <v>88</v>
      </c>
      <c r="B5">
        <v>4.5</v>
      </c>
      <c r="E5"/>
      <c r="F5"/>
      <c r="I5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4"/>
  <sheetViews>
    <sheetView topLeftCell="A4" workbookViewId="0">
      <selection activeCell="A13" sqref="A13"/>
    </sheetView>
  </sheetViews>
  <sheetFormatPr defaultRowHeight="14"/>
  <cols>
    <col min="1" max="1" width="120" style="5" customWidth="1"/>
  </cols>
  <sheetData>
    <row r="1" spans="1:1" ht="35" customHeight="1">
      <c r="A1" s="6" t="s">
        <v>122</v>
      </c>
    </row>
    <row r="2" spans="1:1" ht="35" customHeight="1">
      <c r="A2" s="7"/>
    </row>
    <row r="3" spans="1:1" ht="35" customHeight="1">
      <c r="A3" s="8" t="s">
        <v>126</v>
      </c>
    </row>
    <row r="4" spans="1:1" ht="126" customHeight="1">
      <c r="A4" s="7" t="s">
        <v>125</v>
      </c>
    </row>
    <row r="5" spans="1:1" ht="35" customHeight="1">
      <c r="A5" s="7"/>
    </row>
    <row r="6" spans="1:1" ht="35" customHeight="1">
      <c r="A6" s="7"/>
    </row>
    <row r="7" spans="1:1" ht="35" customHeight="1">
      <c r="A7" s="7"/>
    </row>
    <row r="8" spans="1:1" ht="35" customHeight="1">
      <c r="A8" s="7"/>
    </row>
    <row r="9" spans="1:1" ht="35" customHeight="1">
      <c r="A9" s="7"/>
    </row>
    <row r="10" spans="1:1" ht="35" customHeight="1">
      <c r="A10" s="8" t="s">
        <v>127</v>
      </c>
    </row>
    <row r="11" spans="1:1" ht="112" customHeight="1">
      <c r="A11" s="7" t="s">
        <v>128</v>
      </c>
    </row>
    <row r="12" spans="1:1" ht="35" customHeight="1">
      <c r="A12" s="7"/>
    </row>
    <row r="13" spans="1:1" ht="35" customHeight="1">
      <c r="A13" s="7"/>
    </row>
    <row r="14" spans="1:1" ht="35" customHeight="1">
      <c r="A14" s="7"/>
    </row>
    <row r="15" spans="1:1" ht="35" customHeight="1">
      <c r="A15" s="7"/>
    </row>
    <row r="16" spans="1:1" ht="35" customHeight="1">
      <c r="A16" s="7"/>
    </row>
    <row r="17" spans="1:1" ht="17.5" customHeight="1">
      <c r="A17" s="8"/>
    </row>
    <row r="18" spans="1:1" ht="210" customHeight="1">
      <c r="A18" s="7"/>
    </row>
    <row r="19" spans="1:1" ht="35" customHeight="1">
      <c r="A19" s="7"/>
    </row>
    <row r="20" spans="1:1" ht="35" customHeight="1">
      <c r="A20" s="7"/>
    </row>
    <row r="21" spans="1:1" ht="35" customHeight="1">
      <c r="A21" s="7"/>
    </row>
    <row r="22" spans="1:1" ht="35" customHeight="1">
      <c r="A22" s="7"/>
    </row>
    <row r="23" spans="1:1" ht="35" customHeight="1">
      <c r="A23" s="7"/>
    </row>
    <row r="24" spans="1:1" ht="35" customHeight="1">
      <c r="A24" s="7"/>
    </row>
    <row r="25" spans="1:1" ht="35" customHeight="1">
      <c r="A25" s="7"/>
    </row>
    <row r="26" spans="1:1" ht="35" customHeight="1">
      <c r="A26" s="7"/>
    </row>
    <row r="27" spans="1:1" ht="35" customHeight="1">
      <c r="A27" s="7"/>
    </row>
    <row r="28" spans="1:1" ht="17.5" customHeight="1">
      <c r="A28" s="8" t="s">
        <v>123</v>
      </c>
    </row>
    <row r="29" spans="1:1" ht="210" customHeight="1">
      <c r="A29" s="7" t="s">
        <v>124</v>
      </c>
    </row>
    <row r="30" spans="1:1" ht="35" customHeight="1">
      <c r="A30" s="7"/>
    </row>
    <row r="31" spans="1:1" ht="35" customHeight="1">
      <c r="A31" s="7"/>
    </row>
    <row r="32" spans="1:1" ht="35" customHeight="1">
      <c r="A32" s="7"/>
    </row>
    <row r="33" spans="1:1" ht="35" customHeight="1">
      <c r="A33" s="7"/>
    </row>
    <row r="34" spans="1:1" ht="35" customHeight="1">
      <c r="A34" s="7"/>
    </row>
    <row r="35" spans="1:1" ht="35" customHeight="1">
      <c r="A35" s="7"/>
    </row>
    <row r="36" spans="1:1" ht="35" customHeight="1">
      <c r="A36" s="7"/>
    </row>
    <row r="37" spans="1:1" ht="35" customHeight="1">
      <c r="A37" s="7"/>
    </row>
    <row r="38" spans="1:1" ht="35" customHeight="1">
      <c r="A38" s="7"/>
    </row>
    <row r="39" spans="1:1" ht="35" customHeight="1">
      <c r="A39" s="7"/>
    </row>
    <row r="40" spans="1:1" ht="35" customHeight="1">
      <c r="A40" s="7"/>
    </row>
    <row r="41" spans="1:1" ht="35" customHeight="1"/>
    <row r="42" spans="1:1" ht="35" customHeight="1"/>
    <row r="43" spans="1:1" ht="35" customHeight="1"/>
    <row r="44" spans="1:1" ht="35" customHeight="1"/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D29" sqref="D29"/>
    </sheetView>
  </sheetViews>
  <sheetFormatPr defaultRowHeight="14"/>
  <cols>
    <col min="1" max="1" width="27.4140625" style="5" bestFit="1" customWidth="1"/>
    <col min="2" max="2" width="12.33203125" style="5" bestFit="1" customWidth="1"/>
    <col min="3" max="3" width="27.75" style="5" bestFit="1" customWidth="1"/>
    <col min="4" max="4" width="52.08203125" style="5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DU_mmWave_Benchmark</vt:lpstr>
      <vt:lpstr>Error_Analysis</vt:lpstr>
      <vt:lpstr>Statistics</vt:lpstr>
      <vt:lpstr>Preliminary_Findings</vt:lpstr>
      <vt:lpstr>Visualization_Notes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z</dc:creator>
  <cp:lastModifiedBy>bc z</cp:lastModifiedBy>
  <dcterms:created xsi:type="dcterms:W3CDTF">2026-05-27T02:43:18Z</dcterms:created>
  <dcterms:modified xsi:type="dcterms:W3CDTF">2026-05-27T13:43:33Z</dcterms:modified>
</cp:coreProperties>
</file>